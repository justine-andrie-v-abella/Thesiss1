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cent ian daraman\Downloads\"/>
    </mc:Choice>
  </mc:AlternateContent>
  <xr:revisionPtr revIDLastSave="0" documentId="13_ncr:1_{78FB5677-65F1-498B-AFFC-F7FC2181B524}" xr6:coauthVersionLast="47" xr6:coauthVersionMax="47" xr10:uidLastSave="{00000000-0000-0000-0000-000000000000}"/>
  <bookViews>
    <workbookView xWindow="-108" yWindow="-108" windowWidth="23256" windowHeight="13176" activeTab="2" xr2:uid="{59213E2F-F9EE-43C5-BC26-250F46D99A44}"/>
  </bookViews>
  <sheets>
    <sheet name="Sheet3" sheetId="4" r:id="rId1"/>
    <sheet name="Sheet1" sheetId="1" r:id="rId2"/>
    <sheet name="Sheet2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3" l="1" a="1"/>
  <c r="E17" i="3" s="1"/>
  <c r="E1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<sst xmlns="http://schemas.openxmlformats.org/spreadsheetml/2006/main" count="111" uniqueCount="56">
  <si>
    <t>Date</t>
  </si>
  <si>
    <t>Client</t>
  </si>
  <si>
    <t>Region</t>
  </si>
  <si>
    <t>Month</t>
  </si>
  <si>
    <t>Year</t>
  </si>
  <si>
    <t>Quarter</t>
  </si>
  <si>
    <t>Amount</t>
  </si>
  <si>
    <t>ABC Corporation</t>
  </si>
  <si>
    <t>Bridges Company</t>
  </si>
  <si>
    <t>Timefall Inc.</t>
  </si>
  <si>
    <t>Chiral Corporation</t>
  </si>
  <si>
    <t>Titan Industries</t>
  </si>
  <si>
    <t>Eagle Security</t>
  </si>
  <si>
    <t>Sol Company</t>
  </si>
  <si>
    <t>South</t>
  </si>
  <si>
    <t>East</t>
  </si>
  <si>
    <t>North</t>
  </si>
  <si>
    <t>West</t>
  </si>
  <si>
    <t>July</t>
  </si>
  <si>
    <t>August</t>
  </si>
  <si>
    <t>September</t>
  </si>
  <si>
    <t>October</t>
  </si>
  <si>
    <t>November</t>
  </si>
  <si>
    <t>Q3</t>
  </si>
  <si>
    <t>Q4</t>
  </si>
  <si>
    <t>Event End Time</t>
  </si>
  <si>
    <t>Event Name</t>
  </si>
  <si>
    <t>Speaker</t>
  </si>
  <si>
    <t>Event Time</t>
  </si>
  <si>
    <t>Creativity for the Workplace</t>
  </si>
  <si>
    <t>Finding Balance Through Mindfulness</t>
  </si>
  <si>
    <t>Increasing Your Self-Confidence</t>
  </si>
  <si>
    <t>Practical Time and Workload Management</t>
  </si>
  <si>
    <t>Basic Excel Workshop</t>
  </si>
  <si>
    <t>Advanced Excel Workshop</t>
  </si>
  <si>
    <t>Financial Literacy 101</t>
  </si>
  <si>
    <t>Effective Visual  Presentation Skills</t>
  </si>
  <si>
    <t>The Future of Work</t>
  </si>
  <si>
    <t>How to Tackle Difficult Conversations</t>
  </si>
  <si>
    <t>Advanced Business Writing</t>
  </si>
  <si>
    <t>Bailes, Giusto</t>
  </si>
  <si>
    <t>Tomson, Barthel</t>
  </si>
  <si>
    <t>Burmaster, Mellisent</t>
  </si>
  <si>
    <t>Hearle, Dale</t>
  </si>
  <si>
    <t>Ermes, Haily</t>
  </si>
  <si>
    <t>Lorenc, Brent</t>
  </si>
  <si>
    <t>Spencook, Myrta</t>
  </si>
  <si>
    <t>Blanpein, Lacey</t>
  </si>
  <si>
    <t>Loxly, Frederique</t>
  </si>
  <si>
    <t>Tother, Crysta</t>
  </si>
  <si>
    <t>Rains, Vivie</t>
  </si>
  <si>
    <t>Enter a Start Time:</t>
  </si>
  <si>
    <t>Enter an End Time: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</si>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</sst>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1009]#,##0"/>
    <numFmt numFmtId="165" formatCode="[$-F400]h:mm:ss\ AM/PM"/>
    <numFmt numFmtId="166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$-10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\-mmm\-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868B4"/>
      <color rgb="FFC65A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za Refamonte" refreshedDate="45982.691932291666" createdVersion="8" refreshedVersion="8" minRefreshableVersion="3" recordCount="16" xr:uid="{2137A6FD-EAA5-4706-B01B-4342118BB4FD}">
  <cacheSource type="worksheet">
    <worksheetSource name="Table1"/>
  </cacheSource>
  <cacheFields count="7">
    <cacheField name="Date" numFmtId="166">
      <sharedItems containsSemiMixedTypes="0" containsNonDate="0" containsDate="1" containsString="0" minDate="2019-07-15T00:00:00" maxDate="2019-11-30T00:00:00"/>
    </cacheField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Region" numFmtId="0">
      <sharedItems/>
    </cacheField>
    <cacheField name="Month" numFmtId="0">
      <sharedItems/>
    </cacheField>
    <cacheField name="Year" numFmtId="0">
      <sharedItems containsSemiMixedTypes="0" containsString="0" containsNumber="1" containsInteger="1" minValue="2019" maxValue="2019"/>
    </cacheField>
    <cacheField name="Quarter" numFmtId="0">
      <sharedItems/>
    </cacheField>
    <cacheField name="Amount" numFmtId="164">
      <sharedItems containsSemiMixedTypes="0" containsString="0" containsNumber="1" containsInteger="1" minValue="191708" maxValue="19782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d v="2019-07-15T00:00:00"/>
    <x v="0"/>
    <s v="South"/>
    <s v="July"/>
    <n v="2019"/>
    <s v="Q3"/>
    <n v="1741089"/>
  </r>
  <r>
    <d v="2019-07-19T00:00:00"/>
    <x v="1"/>
    <s v="East"/>
    <s v="July"/>
    <n v="2019"/>
    <s v="Q3"/>
    <n v="514989"/>
  </r>
  <r>
    <d v="2019-07-26T00:00:00"/>
    <x v="2"/>
    <s v="East"/>
    <s v="July"/>
    <n v="2019"/>
    <s v="Q3"/>
    <n v="230071"/>
  </r>
  <r>
    <d v="2019-08-11T00:00:00"/>
    <x v="3"/>
    <s v="North"/>
    <s v="August"/>
    <n v="2019"/>
    <s v="Q3"/>
    <n v="1148912"/>
  </r>
  <r>
    <d v="2019-08-15T00:00:00"/>
    <x v="4"/>
    <s v="West"/>
    <s v="August"/>
    <n v="2019"/>
    <s v="Q3"/>
    <n v="405991"/>
  </r>
  <r>
    <d v="2019-08-22T00:00:00"/>
    <x v="5"/>
    <s v="South"/>
    <s v="August"/>
    <n v="2019"/>
    <s v="Q3"/>
    <n v="191708"/>
  </r>
  <r>
    <d v="2019-08-24T00:00:00"/>
    <x v="6"/>
    <s v="South"/>
    <s v="August"/>
    <n v="2019"/>
    <s v="Q3"/>
    <n v="1757908"/>
  </r>
  <r>
    <d v="2019-09-15T00:00:00"/>
    <x v="5"/>
    <s v="East"/>
    <s v="September"/>
    <n v="2019"/>
    <s v="Q3"/>
    <n v="1209282"/>
  </r>
  <r>
    <d v="2019-09-17T00:00:00"/>
    <x v="4"/>
    <s v="West"/>
    <s v="September"/>
    <n v="2019"/>
    <s v="Q3"/>
    <n v="1581662"/>
  </r>
  <r>
    <d v="2019-10-16T00:00:00"/>
    <x v="4"/>
    <s v="South"/>
    <s v="October"/>
    <n v="2019"/>
    <s v="Q4"/>
    <n v="376043"/>
  </r>
  <r>
    <d v="2019-10-25T00:00:00"/>
    <x v="2"/>
    <s v="East"/>
    <s v="October"/>
    <n v="2019"/>
    <s v="Q4"/>
    <n v="1978229"/>
  </r>
  <r>
    <d v="2019-11-05T00:00:00"/>
    <x v="2"/>
    <s v="South"/>
    <s v="November"/>
    <n v="2019"/>
    <s v="Q4"/>
    <n v="914785"/>
  </r>
  <r>
    <d v="2019-11-19T00:00:00"/>
    <x v="2"/>
    <s v="East"/>
    <s v="November"/>
    <n v="2019"/>
    <s v="Q4"/>
    <n v="1711222"/>
  </r>
  <r>
    <d v="2019-11-27T00:00:00"/>
    <x v="2"/>
    <s v="West"/>
    <s v="November"/>
    <n v="2019"/>
    <s v="Q4"/>
    <n v="1257231"/>
  </r>
  <r>
    <d v="2019-11-25T00:00:00"/>
    <x v="2"/>
    <s v="South"/>
    <s v="November"/>
    <n v="2019"/>
    <s v="Q4"/>
    <n v="407874"/>
  </r>
  <r>
    <d v="2019-11-29T00:00:00"/>
    <x v="2"/>
    <s v="North"/>
    <s v="November"/>
    <n v="2019"/>
    <s v="Q4"/>
    <n v="5897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B93C7-1909-4CC8-8449-945A3DF023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7">
    <pivotField numFmtId="166" showAll="0"/>
    <pivotField axis="axisRow" showAll="0">
      <items count="8">
        <item x="0"/>
        <item x="1"/>
        <item x="3"/>
        <item x="5"/>
        <item x="6"/>
        <item x="2"/>
        <item x="4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421B2-3ED4-4FA7-9B5F-620A78955915}" name="Table1" displayName="Table1" ref="A1:G17" totalsRowShown="0" headerRowDxfId="8" dataDxfId="7">
  <autoFilter ref="A1:G17" xr:uid="{7BF421B2-3ED4-4FA7-9B5F-620A78955915}"/>
  <tableColumns count="7">
    <tableColumn id="1" xr3:uid="{FBD1EAE9-1403-4139-B817-5583EE7D3879}" name="Date" dataDxfId="6"/>
    <tableColumn id="2" xr3:uid="{3EBC0838-E8DF-4FD1-96AA-02EB0C7489C5}" name="Client" dataDxfId="5"/>
    <tableColumn id="3" xr3:uid="{0605F78F-B6F9-4B14-8501-8DDEFFD66E18}" name="Region" dataDxfId="4"/>
    <tableColumn id="4" xr3:uid="{EE9D4359-9F99-46DD-8208-F1FF133BFA18}" name="Month" dataDxfId="3"/>
    <tableColumn id="5" xr3:uid="{2DD8F3E5-937E-4A4C-8F1C-70E7A1282C7F}" name="Year" dataDxfId="2"/>
    <tableColumn id="6" xr3:uid="{75B86373-3522-4F7D-AD97-5EE138F008EF}" name="Quarter" dataDxfId="1"/>
    <tableColumn id="7" xr3:uid="{95B46231-E297-4CFC-BACF-2BCD3B63C2FA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12E7-0095-4E05-AA38-0EB9294A80EB}">
  <dimension ref="A3:B11"/>
  <sheetViews>
    <sheetView workbookViewId="0">
      <selection activeCell="B6" sqref="B6"/>
    </sheetView>
  </sheetViews>
  <sheetFormatPr defaultRowHeight="14.4" x14ac:dyDescent="0.3"/>
  <cols>
    <col min="1" max="1" width="19.5546875" customWidth="1"/>
    <col min="2" max="2" width="14.44140625" bestFit="1" customWidth="1"/>
  </cols>
  <sheetData>
    <row r="3" spans="1:2" x14ac:dyDescent="0.3">
      <c r="A3" s="12" t="s">
        <v>53</v>
      </c>
      <c r="B3" t="s">
        <v>55</v>
      </c>
    </row>
    <row r="4" spans="1:2" x14ac:dyDescent="0.3">
      <c r="A4" s="13" t="s">
        <v>7</v>
      </c>
      <c r="B4" s="1">
        <v>1741089</v>
      </c>
    </row>
    <row r="5" spans="1:2" x14ac:dyDescent="0.3">
      <c r="A5" s="13" t="s">
        <v>8</v>
      </c>
      <c r="B5" s="1">
        <v>514989</v>
      </c>
    </row>
    <row r="6" spans="1:2" x14ac:dyDescent="0.3">
      <c r="A6" s="13" t="s">
        <v>10</v>
      </c>
      <c r="B6" s="1">
        <v>1148912</v>
      </c>
    </row>
    <row r="7" spans="1:2" x14ac:dyDescent="0.3">
      <c r="A7" s="13" t="s">
        <v>12</v>
      </c>
      <c r="B7" s="1">
        <v>1400990</v>
      </c>
    </row>
    <row r="8" spans="1:2" x14ac:dyDescent="0.3">
      <c r="A8" s="13" t="s">
        <v>13</v>
      </c>
      <c r="B8" s="1">
        <v>1757908</v>
      </c>
    </row>
    <row r="9" spans="1:2" x14ac:dyDescent="0.3">
      <c r="A9" s="13" t="s">
        <v>9</v>
      </c>
      <c r="B9" s="1">
        <v>7089177</v>
      </c>
    </row>
    <row r="10" spans="1:2" x14ac:dyDescent="0.3">
      <c r="A10" s="13" t="s">
        <v>11</v>
      </c>
      <c r="B10" s="1">
        <v>2363696</v>
      </c>
    </row>
    <row r="11" spans="1:2" x14ac:dyDescent="0.3">
      <c r="A11" s="13" t="s">
        <v>54</v>
      </c>
      <c r="B11" s="1">
        <v>16016761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20EE-DEEF-4BEE-AC1D-0CD83DD8AF2A}">
  <dimension ref="A1:G17"/>
  <sheetViews>
    <sheetView workbookViewId="0">
      <selection activeCell="G2" sqref="G2:G17"/>
    </sheetView>
  </sheetViews>
  <sheetFormatPr defaultRowHeight="14.4" x14ac:dyDescent="0.3"/>
  <cols>
    <col min="1" max="1" width="13" customWidth="1"/>
    <col min="2" max="2" width="14.77734375" customWidth="1"/>
    <col min="5" max="5" width="9" bestFit="1" customWidth="1"/>
    <col min="6" max="6" width="9.109375" customWidth="1"/>
    <col min="7" max="7" width="11" bestFit="1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4">
        <v>43661</v>
      </c>
      <c r="B2" s="3" t="s">
        <v>7</v>
      </c>
      <c r="C2" s="3" t="s">
        <v>14</v>
      </c>
      <c r="D2" s="3" t="s">
        <v>18</v>
      </c>
      <c r="E2" s="3">
        <v>2019</v>
      </c>
      <c r="F2" s="3" t="s">
        <v>23</v>
      </c>
      <c r="G2" s="5">
        <v>1741089</v>
      </c>
    </row>
    <row r="3" spans="1:7" x14ac:dyDescent="0.3">
      <c r="A3" s="4">
        <v>43665</v>
      </c>
      <c r="B3" s="3" t="s">
        <v>8</v>
      </c>
      <c r="C3" s="3" t="s">
        <v>15</v>
      </c>
      <c r="D3" s="3" t="s">
        <v>18</v>
      </c>
      <c r="E3" s="3">
        <v>2019</v>
      </c>
      <c r="F3" s="3" t="s">
        <v>23</v>
      </c>
      <c r="G3" s="5">
        <v>514989</v>
      </c>
    </row>
    <row r="4" spans="1:7" x14ac:dyDescent="0.3">
      <c r="A4" s="4">
        <v>43672</v>
      </c>
      <c r="B4" s="3" t="s">
        <v>9</v>
      </c>
      <c r="C4" s="3" t="s">
        <v>15</v>
      </c>
      <c r="D4" s="3" t="s">
        <v>18</v>
      </c>
      <c r="E4" s="3">
        <v>2019</v>
      </c>
      <c r="F4" s="3" t="s">
        <v>23</v>
      </c>
      <c r="G4" s="5">
        <v>230071</v>
      </c>
    </row>
    <row r="5" spans="1:7" x14ac:dyDescent="0.3">
      <c r="A5" s="4">
        <v>43688</v>
      </c>
      <c r="B5" s="3" t="s">
        <v>10</v>
      </c>
      <c r="C5" s="3" t="s">
        <v>16</v>
      </c>
      <c r="D5" s="3" t="s">
        <v>19</v>
      </c>
      <c r="E5" s="3">
        <v>2019</v>
      </c>
      <c r="F5" s="3" t="s">
        <v>23</v>
      </c>
      <c r="G5" s="5">
        <v>1148912</v>
      </c>
    </row>
    <row r="6" spans="1:7" x14ac:dyDescent="0.3">
      <c r="A6" s="4">
        <v>43692</v>
      </c>
      <c r="B6" s="3" t="s">
        <v>11</v>
      </c>
      <c r="C6" s="3" t="s">
        <v>17</v>
      </c>
      <c r="D6" s="3" t="s">
        <v>19</v>
      </c>
      <c r="E6" s="3">
        <v>2019</v>
      </c>
      <c r="F6" s="3" t="s">
        <v>23</v>
      </c>
      <c r="G6" s="5">
        <v>405991</v>
      </c>
    </row>
    <row r="7" spans="1:7" x14ac:dyDescent="0.3">
      <c r="A7" s="4">
        <v>43699</v>
      </c>
      <c r="B7" s="3" t="s">
        <v>12</v>
      </c>
      <c r="C7" s="3" t="s">
        <v>14</v>
      </c>
      <c r="D7" s="3" t="s">
        <v>19</v>
      </c>
      <c r="E7" s="3">
        <v>2019</v>
      </c>
      <c r="F7" s="3" t="s">
        <v>23</v>
      </c>
      <c r="G7" s="5">
        <v>191708</v>
      </c>
    </row>
    <row r="8" spans="1:7" x14ac:dyDescent="0.3">
      <c r="A8" s="4">
        <v>43701</v>
      </c>
      <c r="B8" s="3" t="s">
        <v>13</v>
      </c>
      <c r="C8" s="3" t="s">
        <v>14</v>
      </c>
      <c r="D8" s="3" t="s">
        <v>19</v>
      </c>
      <c r="E8" s="3">
        <v>2019</v>
      </c>
      <c r="F8" s="3" t="s">
        <v>23</v>
      </c>
      <c r="G8" s="5">
        <v>1757908</v>
      </c>
    </row>
    <row r="9" spans="1:7" x14ac:dyDescent="0.3">
      <c r="A9" s="4">
        <v>43723</v>
      </c>
      <c r="B9" s="3" t="s">
        <v>12</v>
      </c>
      <c r="C9" s="3" t="s">
        <v>15</v>
      </c>
      <c r="D9" s="3" t="s">
        <v>20</v>
      </c>
      <c r="E9" s="3">
        <v>2019</v>
      </c>
      <c r="F9" s="3" t="s">
        <v>23</v>
      </c>
      <c r="G9" s="5">
        <v>1209282</v>
      </c>
    </row>
    <row r="10" spans="1:7" x14ac:dyDescent="0.3">
      <c r="A10" s="4">
        <v>43725</v>
      </c>
      <c r="B10" s="3" t="s">
        <v>11</v>
      </c>
      <c r="C10" s="3" t="s">
        <v>17</v>
      </c>
      <c r="D10" s="3" t="s">
        <v>20</v>
      </c>
      <c r="E10" s="3">
        <v>2019</v>
      </c>
      <c r="F10" s="3" t="s">
        <v>23</v>
      </c>
      <c r="G10" s="5">
        <v>1581662</v>
      </c>
    </row>
    <row r="11" spans="1:7" x14ac:dyDescent="0.3">
      <c r="A11" s="4">
        <v>43754</v>
      </c>
      <c r="B11" s="3" t="s">
        <v>11</v>
      </c>
      <c r="C11" s="3" t="s">
        <v>14</v>
      </c>
      <c r="D11" s="3" t="s">
        <v>21</v>
      </c>
      <c r="E11" s="3">
        <v>2019</v>
      </c>
      <c r="F11" s="3" t="s">
        <v>24</v>
      </c>
      <c r="G11" s="5">
        <v>376043</v>
      </c>
    </row>
    <row r="12" spans="1:7" x14ac:dyDescent="0.3">
      <c r="A12" s="4">
        <v>43763</v>
      </c>
      <c r="B12" s="3" t="s">
        <v>9</v>
      </c>
      <c r="C12" s="3" t="s">
        <v>15</v>
      </c>
      <c r="D12" s="3" t="s">
        <v>21</v>
      </c>
      <c r="E12" s="3">
        <v>2019</v>
      </c>
      <c r="F12" s="3" t="s">
        <v>24</v>
      </c>
      <c r="G12" s="5">
        <v>1978229</v>
      </c>
    </row>
    <row r="13" spans="1:7" x14ac:dyDescent="0.3">
      <c r="A13" s="4">
        <v>43774</v>
      </c>
      <c r="B13" s="3" t="s">
        <v>9</v>
      </c>
      <c r="C13" s="3" t="s">
        <v>14</v>
      </c>
      <c r="D13" s="3" t="s">
        <v>22</v>
      </c>
      <c r="E13" s="3">
        <v>2019</v>
      </c>
      <c r="F13" s="3" t="s">
        <v>24</v>
      </c>
      <c r="G13" s="5">
        <v>914785</v>
      </c>
    </row>
    <row r="14" spans="1:7" x14ac:dyDescent="0.3">
      <c r="A14" s="4">
        <v>43788</v>
      </c>
      <c r="B14" s="3" t="s">
        <v>9</v>
      </c>
      <c r="C14" s="3" t="s">
        <v>15</v>
      </c>
      <c r="D14" s="3" t="s">
        <v>22</v>
      </c>
      <c r="E14" s="3">
        <v>2019</v>
      </c>
      <c r="F14" s="3" t="s">
        <v>24</v>
      </c>
      <c r="G14" s="5">
        <v>1711222</v>
      </c>
    </row>
    <row r="15" spans="1:7" x14ac:dyDescent="0.3">
      <c r="A15" s="4">
        <v>43796</v>
      </c>
      <c r="B15" s="3" t="s">
        <v>9</v>
      </c>
      <c r="C15" s="3" t="s">
        <v>17</v>
      </c>
      <c r="D15" s="3" t="s">
        <v>22</v>
      </c>
      <c r="E15" s="3">
        <v>2019</v>
      </c>
      <c r="F15" s="3" t="s">
        <v>24</v>
      </c>
      <c r="G15" s="5">
        <v>1257231</v>
      </c>
    </row>
    <row r="16" spans="1:7" x14ac:dyDescent="0.3">
      <c r="A16" s="4">
        <v>43794</v>
      </c>
      <c r="B16" s="3" t="s">
        <v>9</v>
      </c>
      <c r="C16" s="3" t="s">
        <v>14</v>
      </c>
      <c r="D16" s="3" t="s">
        <v>22</v>
      </c>
      <c r="E16" s="3">
        <v>2019</v>
      </c>
      <c r="F16" s="3" t="s">
        <v>24</v>
      </c>
      <c r="G16" s="5">
        <v>407874</v>
      </c>
    </row>
    <row r="17" spans="1:7" x14ac:dyDescent="0.3">
      <c r="A17" s="4">
        <v>43798</v>
      </c>
      <c r="B17" s="3" t="s">
        <v>9</v>
      </c>
      <c r="C17" s="3" t="s">
        <v>16</v>
      </c>
      <c r="D17" s="3" t="s">
        <v>22</v>
      </c>
      <c r="E17" s="3">
        <v>2019</v>
      </c>
      <c r="F17" s="3" t="s">
        <v>24</v>
      </c>
      <c r="G17" s="5">
        <v>589765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BDA6-B70B-4009-8558-7B6F6871794D}">
  <dimension ref="B1:E18"/>
  <sheetViews>
    <sheetView tabSelected="1" workbookViewId="0">
      <selection activeCell="E16" sqref="E16"/>
    </sheetView>
  </sheetViews>
  <sheetFormatPr defaultRowHeight="14.4" x14ac:dyDescent="0.3"/>
  <cols>
    <col min="2" max="2" width="13.77734375" customWidth="1"/>
    <col min="3" max="3" width="17.21875" customWidth="1"/>
    <col min="4" max="4" width="34.44140625" customWidth="1"/>
    <col min="5" max="5" width="31.44140625" customWidth="1"/>
  </cols>
  <sheetData>
    <row r="1" spans="2:5" x14ac:dyDescent="0.3">
      <c r="B1" s="8" t="s">
        <v>28</v>
      </c>
      <c r="C1" s="8" t="s">
        <v>25</v>
      </c>
      <c r="D1" s="8" t="s">
        <v>26</v>
      </c>
      <c r="E1" s="8" t="s">
        <v>27</v>
      </c>
    </row>
    <row r="2" spans="2:5" x14ac:dyDescent="0.3">
      <c r="B2" s="10">
        <v>0.41666666666666669</v>
      </c>
      <c r="C2" s="10">
        <v>0.45833333333333331</v>
      </c>
      <c r="D2" s="11" t="s">
        <v>29</v>
      </c>
      <c r="E2" s="11" t="s">
        <v>40</v>
      </c>
    </row>
    <row r="3" spans="2:5" x14ac:dyDescent="0.3">
      <c r="B3" s="10">
        <v>0.45833333333333331</v>
      </c>
      <c r="C3" s="10">
        <v>0.5</v>
      </c>
      <c r="D3" s="11" t="s">
        <v>30</v>
      </c>
      <c r="E3" s="11" t="s">
        <v>41</v>
      </c>
    </row>
    <row r="4" spans="2:5" x14ac:dyDescent="0.3">
      <c r="B4" s="10">
        <v>0.52083333333333337</v>
      </c>
      <c r="C4" s="10">
        <v>0.5625</v>
      </c>
      <c r="D4" s="11" t="s">
        <v>31</v>
      </c>
      <c r="E4" s="11" t="s">
        <v>42</v>
      </c>
    </row>
    <row r="5" spans="2:5" x14ac:dyDescent="0.3">
      <c r="B5" s="10">
        <v>0.54166666666666663</v>
      </c>
      <c r="C5" s="10">
        <v>0.58333333333333337</v>
      </c>
      <c r="D5" s="11" t="s">
        <v>32</v>
      </c>
      <c r="E5" s="11" t="s">
        <v>43</v>
      </c>
    </row>
    <row r="6" spans="2:5" x14ac:dyDescent="0.3">
      <c r="B6" s="10">
        <v>0.58333333333333337</v>
      </c>
      <c r="C6" s="10">
        <v>0.625</v>
      </c>
      <c r="D6" s="11" t="s">
        <v>33</v>
      </c>
      <c r="E6" s="11" t="s">
        <v>44</v>
      </c>
    </row>
    <row r="7" spans="2:5" x14ac:dyDescent="0.3">
      <c r="B7" s="10">
        <v>0.58333333333333337</v>
      </c>
      <c r="C7" s="10">
        <v>0.625</v>
      </c>
      <c r="D7" s="11" t="s">
        <v>34</v>
      </c>
      <c r="E7" s="11" t="s">
        <v>45</v>
      </c>
    </row>
    <row r="8" spans="2:5" x14ac:dyDescent="0.3">
      <c r="B8" s="10">
        <v>0.625</v>
      </c>
      <c r="C8" s="10">
        <v>0.66666666666666663</v>
      </c>
      <c r="D8" s="11" t="s">
        <v>35</v>
      </c>
      <c r="E8" s="11" t="s">
        <v>46</v>
      </c>
    </row>
    <row r="9" spans="2:5" x14ac:dyDescent="0.3">
      <c r="B9" s="10">
        <v>0.70833333333333337</v>
      </c>
      <c r="C9" s="10">
        <v>0.75</v>
      </c>
      <c r="D9" s="11" t="s">
        <v>36</v>
      </c>
      <c r="E9" s="11" t="s">
        <v>47</v>
      </c>
    </row>
    <row r="10" spans="2:5" x14ac:dyDescent="0.3">
      <c r="B10" s="10">
        <v>0.75</v>
      </c>
      <c r="C10" s="10">
        <v>0.79166666666666663</v>
      </c>
      <c r="D10" s="11" t="s">
        <v>37</v>
      </c>
      <c r="E10" s="11" t="s">
        <v>48</v>
      </c>
    </row>
    <row r="11" spans="2:5" x14ac:dyDescent="0.3">
      <c r="B11" s="10">
        <v>0.79166666666666663</v>
      </c>
      <c r="C11" s="10">
        <v>0.83333333333333337</v>
      </c>
      <c r="D11" s="11" t="s">
        <v>38</v>
      </c>
      <c r="E11" s="11" t="s">
        <v>49</v>
      </c>
    </row>
    <row r="12" spans="2:5" x14ac:dyDescent="0.3">
      <c r="B12" s="10">
        <v>0.83333333333333337</v>
      </c>
      <c r="C12" s="10">
        <v>0.875</v>
      </c>
      <c r="D12" s="11" t="s">
        <v>39</v>
      </c>
      <c r="E12" s="11" t="s">
        <v>50</v>
      </c>
    </row>
    <row r="13" spans="2:5" x14ac:dyDescent="0.3">
      <c r="B13" s="2"/>
      <c r="C13" s="2"/>
      <c r="D13" s="2"/>
      <c r="E13" s="2"/>
    </row>
    <row r="14" spans="2:5" x14ac:dyDescent="0.3">
      <c r="B14" s="2"/>
      <c r="C14" s="2"/>
      <c r="D14" s="7" t="s">
        <v>51</v>
      </c>
      <c r="E14" s="9">
        <v>0.83333333333333337</v>
      </c>
    </row>
    <row r="15" spans="2:5" x14ac:dyDescent="0.3">
      <c r="B15" s="2"/>
      <c r="C15" s="2"/>
      <c r="D15" s="7" t="s">
        <v>52</v>
      </c>
      <c r="E15" s="9">
        <v>0.875</v>
      </c>
    </row>
    <row r="16" spans="2:5" x14ac:dyDescent="0.3">
      <c r="B16" s="2"/>
      <c r="C16" s="2"/>
      <c r="D16" s="2"/>
      <c r="E16" s="2"/>
    </row>
    <row r="17" spans="2:5" x14ac:dyDescent="0.3">
      <c r="B17" s="2"/>
      <c r="C17" s="2"/>
      <c r="D17" s="7" t="s">
        <v>26</v>
      </c>
      <c r="E17" s="2" t="str" cm="1">
        <f t="array" ref="E17">IF(COUNTIFS(B2:B12, E14, C2:C12, E15)&gt;0, INDEX(D2:D12,MATCH(1,(B2:B12=E14)*(C2:C12=E15),0)),"")</f>
        <v>Advanced Business Writing</v>
      </c>
    </row>
    <row r="18" spans="2:5" x14ac:dyDescent="0.3">
      <c r="B18" s="2"/>
      <c r="C18" s="2"/>
      <c r="D18" s="7" t="s">
        <v>27</v>
      </c>
      <c r="E18" s="2" t="str">
        <f>VLOOKUP(E17,D2:E12,2,FALSE)</f>
        <v>Rains, Vivie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rizarefamonte@outlook.com</dc:creator>
  <cp:lastModifiedBy>vincent ian daraman</cp:lastModifiedBy>
  <dcterms:created xsi:type="dcterms:W3CDTF">2025-11-21T07:30:02Z</dcterms:created>
  <dcterms:modified xsi:type="dcterms:W3CDTF">2025-12-12T04:15:33Z</dcterms:modified>
</cp:coreProperties>
</file>